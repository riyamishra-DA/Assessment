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esh\OneDrive\ドキュメント\"/>
    </mc:Choice>
  </mc:AlternateContent>
  <xr:revisionPtr revIDLastSave="0" documentId="8_{7246B06C-804A-41E1-B07D-E6F6378D7B34}" xr6:coauthVersionLast="47" xr6:coauthVersionMax="47" xr10:uidLastSave="{00000000-0000-0000-0000-000000000000}"/>
  <bookViews>
    <workbookView xWindow="11424" yWindow="0" windowWidth="11712" windowHeight="12336" xr2:uid="{BE099DC3-49BC-4463-BDDE-A5C0F3CB42D6}"/>
  </bookViews>
  <sheets>
    <sheet name="Q1" sheetId="1" r:id="rId1"/>
    <sheet name="Q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2" l="1"/>
  <c r="I14" i="2"/>
  <c r="J10" i="2"/>
  <c r="I10" i="2"/>
  <c r="J9" i="2"/>
  <c r="I9" i="2"/>
  <c r="G13" i="1"/>
  <c r="G9" i="1"/>
  <c r="G5" i="1"/>
  <c r="J5" i="1"/>
</calcChain>
</file>

<file path=xl/sharedStrings.xml><?xml version="1.0" encoding="utf-8"?>
<sst xmlns="http://schemas.openxmlformats.org/spreadsheetml/2006/main" count="30" uniqueCount="25">
  <si>
    <t>Girls Mean</t>
  </si>
  <si>
    <t>Girls SD</t>
  </si>
  <si>
    <t>Girls n</t>
  </si>
  <si>
    <t>Boys Mean</t>
  </si>
  <si>
    <t>Boys SD</t>
  </si>
  <si>
    <t>Boys n</t>
  </si>
  <si>
    <t>Z-Value</t>
  </si>
  <si>
    <t>Critical Value</t>
  </si>
  <si>
    <t>Result</t>
  </si>
  <si>
    <r>
      <t xml:space="preserve">Since </t>
    </r>
    <r>
      <rPr>
        <b/>
        <sz val="11"/>
        <color theme="1"/>
        <rFont val="Arial"/>
        <family val="2"/>
      </rPr>
      <t>7.02</t>
    </r>
    <r>
      <rPr>
        <sz val="11"/>
        <color theme="1"/>
        <rFont val="Arial"/>
        <family val="2"/>
      </rPr>
      <t xml:space="preserve"> is even larger than the critical value of </t>
    </r>
    <r>
      <rPr>
        <b/>
        <sz val="11"/>
        <color theme="1"/>
        <rFont val="Arial"/>
        <family val="2"/>
      </rPr>
      <t>1.96</t>
    </r>
    <r>
      <rPr>
        <sz val="11"/>
        <color theme="1"/>
        <rFont val="Arial"/>
        <family val="2"/>
      </rPr>
      <t xml:space="preserve"> (for a 5% Level of Significance):</t>
    </r>
  </si>
  <si>
    <t>The claim that there is "no significant difference" is definitely rejected</t>
  </si>
  <si>
    <t>You still Reject the Null Hypothesis.</t>
  </si>
  <si>
    <t>There is a highly significant difference between the two groups.</t>
  </si>
  <si>
    <t xml:space="preserve">Conclusion  -- </t>
  </si>
  <si>
    <t>Cancer</t>
  </si>
  <si>
    <t>No Cancer</t>
  </si>
  <si>
    <t>Total</t>
  </si>
  <si>
    <t>Smokers</t>
  </si>
  <si>
    <t>Non-Smokers</t>
  </si>
  <si>
    <t>Expected Value</t>
  </si>
  <si>
    <t>CHISQ TEST</t>
  </si>
  <si>
    <t>Decision</t>
  </si>
  <si>
    <t>Data</t>
  </si>
  <si>
    <t>Question 2. Analyze the below data and tell whether you can conclude that smoking causes cancer or not?</t>
  </si>
  <si>
    <r>
      <rPr>
        <b/>
        <sz val="16"/>
        <color theme="1"/>
        <rFont val="Calibri"/>
        <family val="2"/>
        <scheme val="minor"/>
      </rPr>
      <t>Conclusion</t>
    </r>
    <r>
      <rPr>
        <sz val="11"/>
        <color theme="1"/>
        <rFont val="Calibri"/>
        <family val="2"/>
        <scheme val="minor"/>
      </rPr>
      <t xml:space="preserve"> =</t>
    </r>
    <r>
      <rPr>
        <b/>
        <sz val="12"/>
        <color theme="1"/>
        <rFont val="Calibri"/>
        <family val="2"/>
        <scheme val="minor"/>
      </rPr>
      <t xml:space="preserve"> There is a significant relationship between smoking and cancer. Hence, smoking and cancer are not independent.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</si>
</sst>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/>
    </xf>
    <xf numFmtId="2" fontId="0" fillId="0" borderId="0" xfId="0" applyNumberFormat="1"/>
    <xf numFmtId="0" fontId="0" fillId="2" borderId="0" xfId="0" applyFill="1" applyAlignment="1">
      <alignment horizontal="center" vertical="center"/>
    </xf>
    <xf numFmtId="2" fontId="0" fillId="2" borderId="0" xfId="0" applyNumberFormat="1" applyFill="1"/>
    <xf numFmtId="1" fontId="0" fillId="0" borderId="0" xfId="0" applyNumberForma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/>
    <xf numFmtId="0" fontId="1" fillId="3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36EF-0E48-4145-8584-2F862A419935}">
  <dimension ref="C4:J23"/>
  <sheetViews>
    <sheetView tabSelected="1" zoomScale="64" workbookViewId="0">
      <selection activeCell="C17" sqref="C17"/>
    </sheetView>
  </sheetViews>
  <sheetFormatPr defaultRowHeight="14.4" x14ac:dyDescent="0.3"/>
  <cols>
    <col min="1" max="1" width="9.6640625" bestFit="1" customWidth="1"/>
    <col min="3" max="3" width="79.6640625" bestFit="1" customWidth="1"/>
    <col min="7" max="7" width="11.6640625" bestFit="1" customWidth="1"/>
    <col min="10" max="10" width="9.21875" bestFit="1" customWidth="1"/>
    <col min="11" max="11" width="12" bestFit="1" customWidth="1"/>
  </cols>
  <sheetData>
    <row r="4" spans="3:10" x14ac:dyDescent="0.3">
      <c r="G4" s="4" t="s">
        <v>6</v>
      </c>
    </row>
    <row r="5" spans="3:10" x14ac:dyDescent="0.3">
      <c r="C5" s="2" t="s">
        <v>0</v>
      </c>
      <c r="D5" s="1">
        <v>89</v>
      </c>
      <c r="G5" s="3">
        <f>(D5-D8)/SQRT((D6^2/D7)+(D9^2/D10))</f>
        <v>7.0175658996391963</v>
      </c>
      <c r="J5" s="6">
        <f>2*(1-_xlfn.NORM.S.DIST(ABS(D12),TRUE))</f>
        <v>1</v>
      </c>
    </row>
    <row r="6" spans="3:10" x14ac:dyDescent="0.3">
      <c r="C6" s="1" t="s">
        <v>1</v>
      </c>
      <c r="D6" s="1">
        <v>4</v>
      </c>
    </row>
    <row r="7" spans="3:10" x14ac:dyDescent="0.3">
      <c r="C7" s="1" t="s">
        <v>2</v>
      </c>
      <c r="D7" s="1">
        <v>50</v>
      </c>
    </row>
    <row r="8" spans="3:10" x14ac:dyDescent="0.3">
      <c r="C8" s="2" t="s">
        <v>3</v>
      </c>
      <c r="D8" s="1">
        <v>82</v>
      </c>
      <c r="G8" s="5" t="s">
        <v>7</v>
      </c>
    </row>
    <row r="9" spans="3:10" x14ac:dyDescent="0.3">
      <c r="C9" s="1" t="s">
        <v>4</v>
      </c>
      <c r="D9" s="1">
        <v>9</v>
      </c>
      <c r="G9" s="3">
        <f>_xlfn.NORM.S.INV(1-0.05/2)</f>
        <v>1.9599639845400536</v>
      </c>
    </row>
    <row r="10" spans="3:10" x14ac:dyDescent="0.3">
      <c r="C10" s="1" t="s">
        <v>5</v>
      </c>
      <c r="D10" s="1">
        <v>120</v>
      </c>
    </row>
    <row r="12" spans="3:10" x14ac:dyDescent="0.3">
      <c r="G12" s="4" t="s">
        <v>8</v>
      </c>
    </row>
    <row r="13" spans="3:10" x14ac:dyDescent="0.3">
      <c r="G13" t="str">
        <f>IF(ABS(G5)&gt;1.96,"Reject H0","Accept H0")</f>
        <v>Reject H0</v>
      </c>
    </row>
    <row r="16" spans="3:10" ht="15.6" x14ac:dyDescent="0.3">
      <c r="C16" s="9" t="s">
        <v>13</v>
      </c>
    </row>
    <row r="17" spans="3:3" x14ac:dyDescent="0.3">
      <c r="C17" s="7" t="s">
        <v>9</v>
      </c>
    </row>
    <row r="18" spans="3:3" x14ac:dyDescent="0.3">
      <c r="C18" s="8" t="s">
        <v>11</v>
      </c>
    </row>
    <row r="19" spans="3:3" x14ac:dyDescent="0.3">
      <c r="C19" s="8" t="s">
        <v>12</v>
      </c>
    </row>
    <row r="20" spans="3:3" x14ac:dyDescent="0.3">
      <c r="C20" s="7" t="s">
        <v>10</v>
      </c>
    </row>
    <row r="21" spans="3:3" x14ac:dyDescent="0.3">
      <c r="C21" s="8"/>
    </row>
    <row r="23" spans="3:3" x14ac:dyDescent="0.3">
      <c r="C2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509B-5DE4-42AC-94A6-29FE72220F50}">
  <dimension ref="B2:J21"/>
  <sheetViews>
    <sheetView zoomScale="82" workbookViewId="0">
      <selection activeCell="H28" sqref="H28"/>
    </sheetView>
  </sheetViews>
  <sheetFormatPr defaultRowHeight="14.4" x14ac:dyDescent="0.3"/>
  <cols>
    <col min="5" max="5" width="9.6640625" bestFit="1" customWidth="1"/>
    <col min="7" max="7" width="11" bestFit="1" customWidth="1"/>
    <col min="9" max="9" width="20.77734375" bestFit="1" customWidth="1"/>
    <col min="12" max="12" width="23.77734375" bestFit="1" customWidth="1"/>
  </cols>
  <sheetData>
    <row r="2" spans="2:10" x14ac:dyDescent="0.3">
      <c r="B2" s="18" t="s">
        <v>23</v>
      </c>
      <c r="C2" s="18"/>
      <c r="D2" s="18"/>
      <c r="E2" s="18"/>
      <c r="F2" s="18"/>
      <c r="G2" s="18"/>
      <c r="H2" s="18"/>
      <c r="I2" s="18"/>
      <c r="J2" s="18"/>
    </row>
    <row r="3" spans="2:10" x14ac:dyDescent="0.3">
      <c r="G3" s="14"/>
    </row>
    <row r="4" spans="2:10" x14ac:dyDescent="0.3">
      <c r="G4" s="14"/>
    </row>
    <row r="5" spans="2:10" x14ac:dyDescent="0.3">
      <c r="G5" s="14"/>
      <c r="H5" s="14"/>
    </row>
    <row r="6" spans="2:10" x14ac:dyDescent="0.3">
      <c r="C6" s="17" t="s">
        <v>22</v>
      </c>
      <c r="I6" s="17" t="s">
        <v>19</v>
      </c>
    </row>
    <row r="8" spans="2:10" x14ac:dyDescent="0.3">
      <c r="B8" s="10"/>
      <c r="C8" s="11" t="s">
        <v>14</v>
      </c>
      <c r="D8" s="12" t="s">
        <v>15</v>
      </c>
      <c r="E8" s="11" t="s">
        <v>16</v>
      </c>
      <c r="H8" s="15"/>
      <c r="I8" s="16" t="s">
        <v>14</v>
      </c>
      <c r="J8" s="16" t="s">
        <v>15</v>
      </c>
    </row>
    <row r="9" spans="2:10" x14ac:dyDescent="0.3">
      <c r="B9" s="13" t="s">
        <v>17</v>
      </c>
      <c r="C9" s="1">
        <v>220</v>
      </c>
      <c r="D9" s="1">
        <v>230</v>
      </c>
      <c r="E9" s="13">
        <v>450</v>
      </c>
      <c r="H9" s="13" t="s">
        <v>17</v>
      </c>
      <c r="I9" s="15">
        <f>(E9*C11)/E11</f>
        <v>178.125</v>
      </c>
      <c r="J9" s="15">
        <f>(E9*D11)/E11</f>
        <v>271.875</v>
      </c>
    </row>
    <row r="10" spans="2:10" ht="28.8" x14ac:dyDescent="0.3">
      <c r="B10" s="13" t="s">
        <v>18</v>
      </c>
      <c r="C10" s="1">
        <v>350</v>
      </c>
      <c r="D10" s="1">
        <v>640</v>
      </c>
      <c r="E10" s="13">
        <v>990</v>
      </c>
      <c r="H10" s="13" t="s">
        <v>18</v>
      </c>
      <c r="I10" s="15">
        <f>(E10*C11)/E11</f>
        <v>391.875</v>
      </c>
      <c r="J10" s="15">
        <f>(E10*D11)/E11</f>
        <v>598.125</v>
      </c>
    </row>
    <row r="11" spans="2:10" x14ac:dyDescent="0.3">
      <c r="B11" s="13" t="s">
        <v>16</v>
      </c>
      <c r="C11" s="13">
        <v>570</v>
      </c>
      <c r="D11" s="13">
        <v>870</v>
      </c>
      <c r="E11" s="13">
        <v>1440</v>
      </c>
    </row>
    <row r="13" spans="2:10" x14ac:dyDescent="0.3">
      <c r="I13" s="16" t="s">
        <v>20</v>
      </c>
    </row>
    <row r="14" spans="2:10" x14ac:dyDescent="0.3">
      <c r="I14">
        <f>_xlfn.CHISQ.TEST(C9:D10, I9:J10)</f>
        <v>1.1256033979815032E-6</v>
      </c>
    </row>
    <row r="16" spans="2:10" x14ac:dyDescent="0.3">
      <c r="I16" s="16" t="s">
        <v>21</v>
      </c>
    </row>
    <row r="17" spans="3:9" x14ac:dyDescent="0.3">
      <c r="I17" t="str">
        <f>IF(I14&lt;0.05,"Reject H0","Accept H0")</f>
        <v>Reject H0</v>
      </c>
    </row>
    <row r="19" spans="3:9" x14ac:dyDescent="0.3">
      <c r="C19" s="19" t="s">
        <v>24</v>
      </c>
      <c r="D19" s="19"/>
      <c r="E19" s="19"/>
      <c r="F19" s="19"/>
      <c r="G19" s="19"/>
      <c r="H19" s="19"/>
      <c r="I19" s="19"/>
    </row>
    <row r="20" spans="3:9" x14ac:dyDescent="0.3">
      <c r="C20" s="19"/>
      <c r="D20" s="19"/>
      <c r="E20" s="19"/>
      <c r="F20" s="19"/>
      <c r="G20" s="19"/>
      <c r="H20" s="19"/>
      <c r="I20" s="19"/>
    </row>
    <row r="21" spans="3:9" x14ac:dyDescent="0.3">
      <c r="C21" s="19"/>
      <c r="D21" s="19"/>
      <c r="E21" s="19"/>
      <c r="F21" s="19"/>
      <c r="G21" s="19"/>
      <c r="H21" s="19"/>
      <c r="I21" s="19"/>
    </row>
  </sheetData>
  <mergeCells count="2">
    <mergeCell ref="B2:J2"/>
    <mergeCell ref="C19:I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dubey</dc:creator>
  <cp:lastModifiedBy>Nitesh dubey</cp:lastModifiedBy>
  <dcterms:created xsi:type="dcterms:W3CDTF">2026-04-02T14:17:43Z</dcterms:created>
  <dcterms:modified xsi:type="dcterms:W3CDTF">2026-04-02T15:22:37Z</dcterms:modified>
</cp:coreProperties>
</file>